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ailmerge\excel-vba-certificate-generator\excel-vba-certificate-generator\"/>
    </mc:Choice>
  </mc:AlternateContent>
  <xr:revisionPtr revIDLastSave="2" documentId="13_ncr:1_{D6CD5513-44DD-45F7-BADF-AC9D88C8D6B1}" xr6:coauthVersionLast="47" xr6:coauthVersionMax="47" xr10:uidLastSave="{407ACA72-F727-416E-99B3-16C1F72A871F}"/>
  <bookViews>
    <workbookView xWindow="-108" yWindow="-108" windowWidth="23256" windowHeight="12456" xr2:uid="{27143CE4-F144-4348-B5D2-BB52694AE8A4}"/>
  </bookViews>
  <sheets>
    <sheet name="Sheet1" sheetId="1" r:id="rId1"/>
    <sheet name="Sheet2" sheetId="2" r:id="rId2"/>
    <sheet name="List" sheetId="3" r:id="rId3"/>
    <sheet name="HelperCells" sheetId="4" r:id="rId4"/>
  </sheets>
  <definedNames>
    <definedName name="_xleta.IF" hidden="1" xlm="1">#NAME?</definedName>
    <definedName name="_xleta.N" hidden="1" xlm="1">#NAME?</definedName>
    <definedName name="_xleta.T" hidden="1" xlm="1">#NAME?</definedName>
    <definedName name="Courses">List!$B$3:$B$7</definedName>
    <definedName name="TRUELIST">List!$A$1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F5" i="2" s="1"/>
  <c r="B6" i="2"/>
  <c r="B7" i="2"/>
  <c r="B8" i="2"/>
  <c r="B9" i="2"/>
  <c r="B10" i="2"/>
  <c r="F10" i="2" s="1"/>
  <c r="B11" i="2"/>
  <c r="B12" i="2"/>
  <c r="B13" i="2"/>
  <c r="D13" i="2" s="1"/>
  <c r="I13" i="2" s="1"/>
  <c r="B14" i="2"/>
  <c r="B15" i="2"/>
  <c r="B16" i="2"/>
  <c r="B17" i="2"/>
  <c r="D17" i="2" s="1"/>
  <c r="G17" i="2" s="1"/>
  <c r="K17" i="2" s="1"/>
  <c r="B2" i="2"/>
  <c r="E4" i="2"/>
  <c r="E16" i="2"/>
  <c r="D2" i="2"/>
  <c r="I2" i="2" s="1"/>
  <c r="D8" i="2"/>
  <c r="G8" i="2" s="1"/>
  <c r="K8" i="2" s="1"/>
  <c r="F9" i="2"/>
  <c r="F3" i="2"/>
  <c r="D11" i="2"/>
  <c r="G11" i="2" s="1"/>
  <c r="K11" i="2" s="1"/>
  <c r="E6" i="2"/>
  <c r="E7" i="2"/>
  <c r="F15" i="2"/>
  <c r="E9" i="2"/>
  <c r="E15" i="2"/>
  <c r="D7" i="2"/>
  <c r="G7" i="2" s="1"/>
  <c r="K7" i="2" s="1"/>
  <c r="D15" i="2"/>
  <c r="G15" i="2" s="1"/>
  <c r="K15" i="2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C2" i="4"/>
  <c r="A2" i="1"/>
  <c r="A2" i="2" s="1"/>
  <c r="E17" i="2" l="1"/>
  <c r="F17" i="2"/>
  <c r="D9" i="2"/>
  <c r="G9" i="2" s="1"/>
  <c r="K9" i="2" s="1"/>
  <c r="F8" i="2"/>
  <c r="D16" i="2"/>
  <c r="G16" i="2" s="1"/>
  <c r="K16" i="2" s="1"/>
  <c r="F16" i="2"/>
  <c r="F11" i="2"/>
  <c r="E13" i="2"/>
  <c r="E8" i="2"/>
  <c r="D14" i="2"/>
  <c r="H14" i="2" s="1"/>
  <c r="E14" i="2"/>
  <c r="F14" i="2"/>
  <c r="F6" i="2"/>
  <c r="D6" i="2"/>
  <c r="F4" i="2"/>
  <c r="D3" i="2"/>
  <c r="J3" i="2" s="1"/>
  <c r="J11" i="2"/>
  <c r="E5" i="2"/>
  <c r="F13" i="2"/>
  <c r="F12" i="2"/>
  <c r="E12" i="2"/>
  <c r="D4" i="2"/>
  <c r="J4" i="2" s="1"/>
  <c r="H13" i="2"/>
  <c r="D5" i="2"/>
  <c r="I5" i="2" s="1"/>
  <c r="E3" i="2"/>
  <c r="E11" i="2"/>
  <c r="D12" i="2"/>
  <c r="G12" i="2" s="1"/>
  <c r="K12" i="2" s="1"/>
  <c r="F7" i="2"/>
  <c r="F2" i="2"/>
  <c r="E2" i="2"/>
  <c r="G13" i="2"/>
  <c r="K13" i="2" s="1"/>
  <c r="I11" i="2"/>
  <c r="H11" i="2"/>
  <c r="J17" i="2"/>
  <c r="I17" i="2"/>
  <c r="J16" i="2"/>
  <c r="J8" i="2"/>
  <c r="H17" i="2"/>
  <c r="H9" i="2"/>
  <c r="I16" i="2"/>
  <c r="I8" i="2"/>
  <c r="J15" i="2"/>
  <c r="J7" i="2"/>
  <c r="D10" i="2"/>
  <c r="I10" i="2" s="1"/>
  <c r="E10" i="2"/>
  <c r="H16" i="2"/>
  <c r="H8" i="2"/>
  <c r="I15" i="2"/>
  <c r="I7" i="2"/>
  <c r="H15" i="2"/>
  <c r="H7" i="2"/>
  <c r="I6" i="2"/>
  <c r="J13" i="2"/>
  <c r="G2" i="2"/>
  <c r="K2" i="2" s="1"/>
  <c r="H2" i="2"/>
  <c r="J2" i="2"/>
  <c r="H6" i="2" l="1"/>
  <c r="G6" i="2"/>
  <c r="K6" i="2" s="1"/>
  <c r="I9" i="2"/>
  <c r="J6" i="2"/>
  <c r="H12" i="2"/>
  <c r="J14" i="2"/>
  <c r="J9" i="2"/>
  <c r="H10" i="2"/>
  <c r="I14" i="2"/>
  <c r="J12" i="2"/>
  <c r="I12" i="2"/>
  <c r="G14" i="2"/>
  <c r="K14" i="2" s="1"/>
  <c r="G4" i="2"/>
  <c r="K4" i="2" s="1"/>
  <c r="H4" i="2"/>
  <c r="G3" i="2"/>
  <c r="K3" i="2" s="1"/>
  <c r="H3" i="2"/>
  <c r="I3" i="2"/>
  <c r="J5" i="2"/>
  <c r="H5" i="2"/>
  <c r="G5" i="2"/>
  <c r="K5" i="2" s="1"/>
  <c r="I4" i="2"/>
  <c r="J10" i="2"/>
  <c r="G10" i="2"/>
  <c r="K10" i="2" s="1"/>
</calcChain>
</file>

<file path=xl/sharedStrings.xml><?xml version="1.0" encoding="utf-8"?>
<sst xmlns="http://schemas.openxmlformats.org/spreadsheetml/2006/main" count="70" uniqueCount="39">
  <si>
    <t>First Name</t>
  </si>
  <si>
    <t>Last Name</t>
  </si>
  <si>
    <t>Course Day 1</t>
  </si>
  <si>
    <t>Grade</t>
  </si>
  <si>
    <t>Course Day 2</t>
  </si>
  <si>
    <t>Course Day 3</t>
  </si>
  <si>
    <t>ID</t>
  </si>
  <si>
    <t>Same Course?</t>
  </si>
  <si>
    <t>Welding</t>
  </si>
  <si>
    <t>Carpentry</t>
  </si>
  <si>
    <t>IT</t>
  </si>
  <si>
    <t>Botany</t>
  </si>
  <si>
    <t>Culinary</t>
  </si>
  <si>
    <t xml:space="preserve">Courses </t>
  </si>
  <si>
    <t>Grades</t>
  </si>
  <si>
    <t>Equivalent text</t>
  </si>
  <si>
    <t xml:space="preserve">You show a great passion for the course and show promise if you pursue this </t>
  </si>
  <si>
    <t>You are good at this and can be considered talented</t>
  </si>
  <si>
    <t xml:space="preserve">You seem to have a basic understanding of the subject </t>
  </si>
  <si>
    <t>You seem to understand the subject but lack passion or interest in the matter</t>
  </si>
  <si>
    <t>You don’t have passion for this subject but you will ace something else</t>
  </si>
  <si>
    <t>Validation of checkboxes</t>
  </si>
  <si>
    <t>Anna</t>
  </si>
  <si>
    <t>Lukas</t>
  </si>
  <si>
    <t>Becker</t>
  </si>
  <si>
    <t>Sara</t>
  </si>
  <si>
    <t>Novak</t>
  </si>
  <si>
    <t>Jonas</t>
  </si>
  <si>
    <t>Weber</t>
  </si>
  <si>
    <t>Mia</t>
  </si>
  <si>
    <t>Hoffmann</t>
  </si>
  <si>
    <t>Schmidt</t>
  </si>
  <si>
    <t>Elias</t>
  </si>
  <si>
    <t>Wagner</t>
  </si>
  <si>
    <t>Lea</t>
  </si>
  <si>
    <t>Fischer</t>
  </si>
  <si>
    <t>Attendance type</t>
  </si>
  <si>
    <t>Noah</t>
  </si>
  <si>
    <t>Krüger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</si>
</sst>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</cellXfs>
  <cellStyles count="1">
    <cellStyle name="Normal" xfId="0" builtinId="0"/>
  </cellStyles>
  <dxfs count="4">
    <dxf>
      <fill>
        <patternFill>
          <bgColor theme="1"/>
        </patternFill>
      </fill>
    </dxf>
    <dxf>
      <fill>
        <patternFill>
          <bgColor theme="1" tint="4.9989318521683403E-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312420</xdr:colOff>
          <xdr:row>3</xdr:row>
          <xdr:rowOff>15240</xdr:rowOff>
        </xdr:from>
        <xdr:to>
          <xdr:col>16</xdr:col>
          <xdr:colOff>38100</xdr:colOff>
          <xdr:row>6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Certificates (PDF)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5FFDE-2E0D-4CB4-95FE-2DC0D5C4D9E9}">
  <sheetPr codeName="Sheet1"/>
  <dimension ref="A1:J17"/>
  <sheetViews>
    <sheetView tabSelected="1" workbookViewId="0">
      <selection activeCell="L8" sqref="L8"/>
    </sheetView>
  </sheetViews>
  <sheetFormatPr defaultRowHeight="14.4" x14ac:dyDescent="0.3"/>
  <cols>
    <col min="1" max="1" width="3" bestFit="1" customWidth="1"/>
    <col min="2" max="2" width="9.77734375" bestFit="1" customWidth="1"/>
    <col min="3" max="3" width="9.5546875" bestFit="1" customWidth="1"/>
    <col min="4" max="4" width="12.5546875" bestFit="1" customWidth="1"/>
    <col min="5" max="5" width="11.44140625" bestFit="1" customWidth="1"/>
    <col min="7" max="7" width="11.44140625" bestFit="1" customWidth="1"/>
    <col min="9" max="9" width="11.44140625" bestFit="1" customWidth="1"/>
  </cols>
  <sheetData>
    <row r="1" spans="1:10" x14ac:dyDescent="0.3">
      <c r="A1" t="s">
        <v>6</v>
      </c>
      <c r="B1" t="s">
        <v>0</v>
      </c>
      <c r="C1" t="s">
        <v>1</v>
      </c>
      <c r="D1" t="s">
        <v>7</v>
      </c>
      <c r="E1" t="s">
        <v>2</v>
      </c>
      <c r="F1" t="s">
        <v>3</v>
      </c>
      <c r="G1" t="s">
        <v>4</v>
      </c>
      <c r="H1" t="s">
        <v>3</v>
      </c>
      <c r="I1" t="s">
        <v>5</v>
      </c>
      <c r="J1" t="s">
        <v>3</v>
      </c>
    </row>
    <row r="2" spans="1:10" x14ac:dyDescent="0.3">
      <c r="A2">
        <f>1</f>
        <v>1</v>
      </c>
      <c r="B2" t="s">
        <v>22</v>
      </c>
      <c r="C2" t="s">
        <v>31</v>
      </c>
      <c r="D2" s="1" t="b">
        <v>1</v>
      </c>
      <c r="E2" t="s">
        <v>8</v>
      </c>
      <c r="F2">
        <v>2</v>
      </c>
      <c r="G2" t="s">
        <v>9</v>
      </c>
      <c r="H2">
        <v>3</v>
      </c>
    </row>
    <row r="3" spans="1:10" x14ac:dyDescent="0.3">
      <c r="A3">
        <v>2</v>
      </c>
      <c r="B3" t="s">
        <v>23</v>
      </c>
      <c r="C3" t="s">
        <v>24</v>
      </c>
      <c r="D3" s="1" t="b">
        <v>0</v>
      </c>
      <c r="E3" t="s">
        <v>9</v>
      </c>
      <c r="F3">
        <v>3</v>
      </c>
      <c r="G3" t="s">
        <v>10</v>
      </c>
      <c r="H3">
        <v>1</v>
      </c>
      <c r="I3" t="s">
        <v>11</v>
      </c>
      <c r="J3">
        <v>2</v>
      </c>
    </row>
    <row r="4" spans="1:10" x14ac:dyDescent="0.3">
      <c r="A4">
        <v>3</v>
      </c>
      <c r="B4" t="s">
        <v>25</v>
      </c>
      <c r="C4" t="s">
        <v>26</v>
      </c>
      <c r="D4" s="1" t="b">
        <v>0</v>
      </c>
      <c r="E4" t="s">
        <v>10</v>
      </c>
      <c r="F4">
        <v>4</v>
      </c>
      <c r="G4" t="s">
        <v>12</v>
      </c>
      <c r="H4">
        <v>3</v>
      </c>
      <c r="I4" t="s">
        <v>9</v>
      </c>
      <c r="J4">
        <v>2</v>
      </c>
    </row>
    <row r="5" spans="1:10" x14ac:dyDescent="0.3">
      <c r="A5">
        <v>4</v>
      </c>
      <c r="B5" t="s">
        <v>27</v>
      </c>
      <c r="C5" t="s">
        <v>28</v>
      </c>
      <c r="D5" s="1" t="b">
        <v>1</v>
      </c>
      <c r="E5" t="s">
        <v>10</v>
      </c>
      <c r="F5">
        <v>1</v>
      </c>
    </row>
    <row r="6" spans="1:10" x14ac:dyDescent="0.3">
      <c r="A6">
        <v>5</v>
      </c>
      <c r="B6" t="s">
        <v>29</v>
      </c>
      <c r="C6" t="s">
        <v>30</v>
      </c>
      <c r="D6" s="1" t="b">
        <v>0</v>
      </c>
      <c r="E6" t="s">
        <v>12</v>
      </c>
      <c r="F6">
        <v>1</v>
      </c>
      <c r="G6" t="s">
        <v>10</v>
      </c>
      <c r="H6">
        <v>1</v>
      </c>
      <c r="I6" t="s">
        <v>9</v>
      </c>
      <c r="J6">
        <v>3</v>
      </c>
    </row>
    <row r="7" spans="1:10" x14ac:dyDescent="0.3">
      <c r="A7">
        <v>6</v>
      </c>
      <c r="B7" t="s">
        <v>32</v>
      </c>
      <c r="C7" t="s">
        <v>33</v>
      </c>
      <c r="D7" s="1" t="b">
        <v>1</v>
      </c>
      <c r="E7" t="s">
        <v>12</v>
      </c>
      <c r="F7">
        <v>2</v>
      </c>
    </row>
    <row r="8" spans="1:10" x14ac:dyDescent="0.3">
      <c r="A8">
        <v>7</v>
      </c>
      <c r="B8" t="s">
        <v>34</v>
      </c>
      <c r="C8" t="s">
        <v>35</v>
      </c>
      <c r="D8" s="1" t="b">
        <v>0</v>
      </c>
      <c r="E8" t="s">
        <v>9</v>
      </c>
      <c r="F8">
        <v>3</v>
      </c>
      <c r="G8" t="s">
        <v>11</v>
      </c>
      <c r="H8">
        <v>4</v>
      </c>
      <c r="I8" t="s">
        <v>12</v>
      </c>
      <c r="J8">
        <v>1</v>
      </c>
    </row>
    <row r="9" spans="1:10" x14ac:dyDescent="0.3">
      <c r="A9">
        <v>8</v>
      </c>
      <c r="B9" t="s">
        <v>37</v>
      </c>
      <c r="C9" t="s">
        <v>38</v>
      </c>
      <c r="D9" s="1" t="b">
        <v>0</v>
      </c>
      <c r="E9" t="s">
        <v>10</v>
      </c>
      <c r="F9">
        <v>1</v>
      </c>
      <c r="G9" t="s">
        <v>11</v>
      </c>
      <c r="H9">
        <v>2</v>
      </c>
      <c r="I9" t="s">
        <v>11</v>
      </c>
      <c r="J9">
        <v>4</v>
      </c>
    </row>
    <row r="10" spans="1:10" x14ac:dyDescent="0.3">
      <c r="A10">
        <v>9</v>
      </c>
      <c r="D10" s="1" t="b">
        <v>0</v>
      </c>
    </row>
    <row r="11" spans="1:10" x14ac:dyDescent="0.3">
      <c r="A11">
        <v>10</v>
      </c>
      <c r="D11" s="1" t="b">
        <v>0</v>
      </c>
    </row>
    <row r="12" spans="1:10" x14ac:dyDescent="0.3">
      <c r="A12">
        <v>11</v>
      </c>
      <c r="D12" s="1" t="b">
        <v>0</v>
      </c>
    </row>
    <row r="13" spans="1:10" x14ac:dyDescent="0.3">
      <c r="A13">
        <v>12</v>
      </c>
      <c r="D13" s="1" t="b">
        <v>0</v>
      </c>
    </row>
    <row r="14" spans="1:10" x14ac:dyDescent="0.3">
      <c r="A14">
        <v>13</v>
      </c>
      <c r="D14" s="1" t="b">
        <v>0</v>
      </c>
    </row>
    <row r="15" spans="1:10" x14ac:dyDescent="0.3">
      <c r="A15">
        <v>14</v>
      </c>
      <c r="D15" s="1" t="b">
        <v>0</v>
      </c>
    </row>
    <row r="16" spans="1:10" x14ac:dyDescent="0.3">
      <c r="A16">
        <v>15</v>
      </c>
      <c r="D16" s="1" t="b">
        <v>0</v>
      </c>
    </row>
    <row r="17" spans="1:4" x14ac:dyDescent="0.3">
      <c r="A17">
        <v>16</v>
      </c>
      <c r="D17" s="1" t="b">
        <v>0</v>
      </c>
    </row>
  </sheetData>
  <conditionalFormatting sqref="G2:G17">
    <cfRule type="expression" dxfId="3" priority="7">
      <formula>D2=TRUE</formula>
    </cfRule>
  </conditionalFormatting>
  <conditionalFormatting sqref="H2:H17">
    <cfRule type="expression" dxfId="2" priority="2">
      <formula>D2=TRUE</formula>
    </cfRule>
  </conditionalFormatting>
  <conditionalFormatting sqref="I2:I18">
    <cfRule type="expression" dxfId="1" priority="1">
      <formula>D2=TRUE</formula>
    </cfRule>
  </conditionalFormatting>
  <conditionalFormatting sqref="J2:J17">
    <cfRule type="expression" dxfId="0" priority="6">
      <formula>D2=TRUE</formula>
    </cfRule>
  </conditionalFormatting>
  <dataValidations count="1">
    <dataValidation type="list" allowBlank="1" showInputMessage="1" showErrorMessage="1" sqref="G2:G17 I2:I18" xr:uid="{304E85F8-BD6A-4506-8AFB-FFB0C6267720}">
      <formula1>Courses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Certificates">
                <anchor moveWithCells="1" sizeWithCells="1">
                  <from>
                    <xdr:col>14</xdr:col>
                    <xdr:colOff>312420</xdr:colOff>
                    <xdr:row>3</xdr:row>
                    <xdr:rowOff>15240</xdr:rowOff>
                  </from>
                  <to>
                    <xdr:col>16</xdr:col>
                    <xdr:colOff>38100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DBC8BB-39D9-47F3-97D4-913E86C3EC9E}">
          <x14:formula1>
            <xm:f>List!$B$3:$B$7</xm:f>
          </x14:formula1>
          <xm:sqref>E2:E17</xm:sqref>
        </x14:dataValidation>
        <x14:dataValidation type="list" allowBlank="1" showInputMessage="1" showErrorMessage="1" xr:uid="{E4E3F6E8-A659-41B4-8343-16C31A32B798}">
          <x14:formula1>
            <xm:f>List!$B$10:$B$14</xm:f>
          </x14:formula1>
          <xm:sqref>F2:F17 J2:J17 H2:H17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AA776-F0B8-4556-A540-3C1B3C4EA8B3}">
  <sheetPr codeName="Sheet2"/>
  <dimension ref="A1:K17"/>
  <sheetViews>
    <sheetView workbookViewId="0">
      <selection activeCell="F2" sqref="F2"/>
    </sheetView>
  </sheetViews>
  <sheetFormatPr defaultRowHeight="14.4" x14ac:dyDescent="0.3"/>
  <cols>
    <col min="1" max="1" width="3" customWidth="1"/>
    <col min="2" max="2" width="9.77734375" bestFit="1" customWidth="1"/>
    <col min="3" max="3" width="9.5546875" bestFit="1" customWidth="1"/>
    <col min="4" max="4" width="12.5546875" bestFit="1" customWidth="1"/>
    <col min="5" max="5" width="11.44140625" bestFit="1" customWidth="1"/>
    <col min="6" max="6" width="12.88671875" customWidth="1"/>
    <col min="7" max="7" width="11.44140625" bestFit="1" customWidth="1"/>
    <col min="8" max="8" width="6" bestFit="1" customWidth="1"/>
    <col min="9" max="9" width="11.44140625" bestFit="1" customWidth="1"/>
    <col min="10" max="10" width="6" bestFit="1" customWidth="1"/>
    <col min="11" max="11" width="14" bestFit="1" customWidth="1"/>
  </cols>
  <sheetData>
    <row r="1" spans="1:11" x14ac:dyDescent="0.3">
      <c r="A1" t="s">
        <v>6</v>
      </c>
      <c r="B1" t="s">
        <v>0</v>
      </c>
      <c r="C1" t="s">
        <v>1</v>
      </c>
      <c r="D1" t="s">
        <v>7</v>
      </c>
      <c r="E1" t="s">
        <v>2</v>
      </c>
      <c r="F1" t="s">
        <v>3</v>
      </c>
      <c r="G1" t="s">
        <v>4</v>
      </c>
      <c r="H1" t="s">
        <v>3</v>
      </c>
      <c r="I1" t="s">
        <v>5</v>
      </c>
      <c r="J1" t="s">
        <v>3</v>
      </c>
      <c r="K1" t="s">
        <v>36</v>
      </c>
    </row>
    <row r="2" spans="1:11" x14ac:dyDescent="0.3">
      <c r="A2">
        <f>IF(Sheet1!B2="","",Sheet1!A2)</f>
        <v>1</v>
      </c>
      <c r="B2" t="str">
        <f>IF(Sheet1!B2=0,"No",Sheet1!B2)</f>
        <v>Anna</v>
      </c>
      <c r="C2" t="str">
        <f>IF(Sheet1!C2="","",Sheet1!C2)</f>
        <v>Schmidt</v>
      </c>
      <c r="D2" t="b">
        <f>IF(B2="","",Sheet1!D2)</f>
        <v>1</v>
      </c>
      <c r="E2" t="str">
        <f>IF(B2="","",Sheet1!E2)</f>
        <v>Welding</v>
      </c>
      <c r="F2" t="str">
        <f>IF(B2="","",VLOOKUP(Sheet1!F2,List!$B$10:$C$14,2))</f>
        <v>You are good at this and can be considered talented</v>
      </c>
      <c r="G2" t="str">
        <f>IF(B2="","",IF(D2=TRUE,"",Sheet1!G2))</f>
        <v/>
      </c>
      <c r="H2" t="str">
        <f>IF(B2="","",IF(D2=TRUE,"",VLOOKUP(Sheet1!H2,List!$B$10:$C$14,2)))</f>
        <v/>
      </c>
      <c r="I2" t="str">
        <f>IF(B2="","",IF(D2=TRUE,"",Sheet1!I2))</f>
        <v/>
      </c>
      <c r="J2" t="str">
        <f>IF(B2="","",IF(D2=TRUE,"",VLOOKUP(Sheet1!J2,List!$B$10:$C$14,2)))</f>
        <v/>
      </c>
      <c r="K2" t="str">
        <f>IF(B2="","",IF(G2="","one course","three courses"))</f>
        <v>one course</v>
      </c>
    </row>
    <row r="3" spans="1:11" x14ac:dyDescent="0.3">
      <c r="A3">
        <f>IF(Sheet1!B3="","",Sheet1!A3)</f>
        <v>2</v>
      </c>
      <c r="B3" t="str">
        <f>IF(Sheet1!B3=0,"No",Sheet1!B3)</f>
        <v>Lukas</v>
      </c>
      <c r="C3" t="str">
        <f>IF(Sheet1!C3="","",Sheet1!C3)</f>
        <v>Becker</v>
      </c>
      <c r="D3" t="b">
        <f>IF(B3="","",Sheet1!D3)</f>
        <v>0</v>
      </c>
      <c r="E3" t="str">
        <f>IF(B3="","",Sheet1!E3)</f>
        <v>Carpentry</v>
      </c>
      <c r="F3" t="str">
        <f>IF(B3="","",VLOOKUP(Sheet1!F3,List!$B$10:$C$14,2))</f>
        <v xml:space="preserve">You seem to have a basic understanding of the subject </v>
      </c>
      <c r="G3" t="str">
        <f>IF(B3="","",IF(D3=TRUE,"",Sheet1!G3))</f>
        <v>IT</v>
      </c>
      <c r="H3" t="str">
        <f>IF(B3="","",IF(D3=TRUE,"",VLOOKUP(Sheet1!H3,List!$B$10:$C$14,2)))</f>
        <v xml:space="preserve">You show a great passion for the course and show promise if you pursue this </v>
      </c>
      <c r="I3" t="str">
        <f>IF(B3="","",IF(D3=TRUE,"",Sheet1!I3))</f>
        <v>Botany</v>
      </c>
      <c r="J3" t="str">
        <f>IF(B3="","",IF(D3=TRUE,"",VLOOKUP(Sheet1!J3,List!$B$10:$C$14,2)))</f>
        <v>You are good at this and can be considered talented</v>
      </c>
      <c r="K3" t="str">
        <f t="shared" ref="K3:K17" si="0">IF(B3="","",IF(G3="","one course","three courses"))</f>
        <v>three courses</v>
      </c>
    </row>
    <row r="4" spans="1:11" x14ac:dyDescent="0.3">
      <c r="A4">
        <f>IF(Sheet1!B4="","",Sheet1!A4)</f>
        <v>3</v>
      </c>
      <c r="B4" t="str">
        <f>IF(Sheet1!B4=0,"No",Sheet1!B4)</f>
        <v>Sara</v>
      </c>
      <c r="C4" t="str">
        <f>IF(Sheet1!C4="","",Sheet1!C4)</f>
        <v>Novak</v>
      </c>
      <c r="D4" t="b">
        <f>IF(B4="","",Sheet1!D4)</f>
        <v>0</v>
      </c>
      <c r="E4" t="str">
        <f>IF(B4="","",Sheet1!E4)</f>
        <v>IT</v>
      </c>
      <c r="F4" t="str">
        <f>IF(B4="","",VLOOKUP(Sheet1!F4,List!$B$10:$C$14,2))</f>
        <v>You seem to understand the subject but lack passion or interest in the matter</v>
      </c>
      <c r="G4" t="str">
        <f>IF(B4="","",IF(D4=TRUE,"",Sheet1!G4))</f>
        <v>Culinary</v>
      </c>
      <c r="H4" t="str">
        <f>IF(B4="","",IF(D4=TRUE,"",VLOOKUP(Sheet1!H4,List!$B$10:$C$14,2)))</f>
        <v xml:space="preserve">You seem to have a basic understanding of the subject </v>
      </c>
      <c r="I4" t="str">
        <f>IF(B4="","",IF(D4=TRUE,"",Sheet1!I4))</f>
        <v>Carpentry</v>
      </c>
      <c r="J4" t="str">
        <f>IF(B4="","",IF(D4=TRUE,"",VLOOKUP(Sheet1!J4,List!$B$10:$C$14,2)))</f>
        <v>You are good at this and can be considered talented</v>
      </c>
      <c r="K4" t="str">
        <f t="shared" si="0"/>
        <v>three courses</v>
      </c>
    </row>
    <row r="5" spans="1:11" x14ac:dyDescent="0.3">
      <c r="A5">
        <f>IF(Sheet1!B5="","",Sheet1!A5)</f>
        <v>4</v>
      </c>
      <c r="B5" t="str">
        <f>IF(Sheet1!B5=0,"No",Sheet1!B5)</f>
        <v>Jonas</v>
      </c>
      <c r="C5" t="str">
        <f>IF(Sheet1!C5="","",Sheet1!C5)</f>
        <v>Weber</v>
      </c>
      <c r="D5" t="b">
        <f>IF(B5="","",Sheet1!D5)</f>
        <v>1</v>
      </c>
      <c r="E5" t="str">
        <f>IF(B5="","",Sheet1!E5)</f>
        <v>IT</v>
      </c>
      <c r="F5" t="str">
        <f>IF(B5="","",VLOOKUP(Sheet1!F5,List!$B$10:$C$14,2))</f>
        <v xml:space="preserve">You show a great passion for the course and show promise if you pursue this </v>
      </c>
      <c r="G5" t="str">
        <f>IF(B5="","",IF(D5=TRUE,"",Sheet1!G5))</f>
        <v/>
      </c>
      <c r="H5" t="str">
        <f>IF(B5="","",IF(D5=TRUE,"",VLOOKUP(Sheet1!H5,List!$B$10:$C$14,2)))</f>
        <v/>
      </c>
      <c r="I5" t="str">
        <f>IF(B5="","",IF(D5=TRUE,"",Sheet1!I5))</f>
        <v/>
      </c>
      <c r="J5" t="str">
        <f>IF(B5="","",IF(D5=TRUE,"",VLOOKUP(Sheet1!J5,List!$B$10:$C$14,2)))</f>
        <v/>
      </c>
      <c r="K5" t="str">
        <f t="shared" si="0"/>
        <v>one course</v>
      </c>
    </row>
    <row r="6" spans="1:11" x14ac:dyDescent="0.3">
      <c r="A6">
        <f>IF(Sheet1!B6="","",Sheet1!A6)</f>
        <v>5</v>
      </c>
      <c r="B6" t="str">
        <f>IF(Sheet1!B6=0,"No",Sheet1!B6)</f>
        <v>Mia</v>
      </c>
      <c r="C6" t="str">
        <f>IF(Sheet1!C6="","",Sheet1!C6)</f>
        <v>Hoffmann</v>
      </c>
      <c r="D6" t="b">
        <f>IF(B6="","",Sheet1!D6)</f>
        <v>0</v>
      </c>
      <c r="E6" t="str">
        <f>IF(B6="","",Sheet1!E6)</f>
        <v>Culinary</v>
      </c>
      <c r="F6" t="str">
        <f>IF(B6="","",VLOOKUP(Sheet1!F6,List!$B$10:$C$14,2))</f>
        <v xml:space="preserve">You show a great passion for the course and show promise if you pursue this </v>
      </c>
      <c r="G6" t="str">
        <f>IF(B6="","",IF(D6=TRUE,"",Sheet1!G6))</f>
        <v>IT</v>
      </c>
      <c r="H6" t="str">
        <f>IF(B6="","",IF(D6=TRUE,"",VLOOKUP(Sheet1!H6,List!$B$10:$C$14,2)))</f>
        <v xml:space="preserve">You show a great passion for the course and show promise if you pursue this </v>
      </c>
      <c r="I6" t="str">
        <f>IF(B6="","",IF(D6=TRUE,"",Sheet1!I6))</f>
        <v>Carpentry</v>
      </c>
      <c r="J6" t="str">
        <f>IF(B6="","",IF(D6=TRUE,"",VLOOKUP(Sheet1!J6,List!$B$10:$C$14,2)))</f>
        <v xml:space="preserve">You seem to have a basic understanding of the subject </v>
      </c>
      <c r="K6" t="str">
        <f t="shared" si="0"/>
        <v>three courses</v>
      </c>
    </row>
    <row r="7" spans="1:11" x14ac:dyDescent="0.3">
      <c r="A7">
        <f>IF(Sheet1!B7="","",Sheet1!A7)</f>
        <v>6</v>
      </c>
      <c r="B7" t="str">
        <f>IF(Sheet1!B7=0,"No",Sheet1!B7)</f>
        <v>Elias</v>
      </c>
      <c r="C7" t="str">
        <f>IF(Sheet1!C7="","",Sheet1!C7)</f>
        <v>Wagner</v>
      </c>
      <c r="D7" t="b">
        <f>IF(B7="","",Sheet1!D7)</f>
        <v>1</v>
      </c>
      <c r="E7" t="str">
        <f>IF(B7="","",Sheet1!E7)</f>
        <v>Culinary</v>
      </c>
      <c r="F7" t="str">
        <f>IF(B7="","",VLOOKUP(Sheet1!F7,List!$B$10:$C$14,2))</f>
        <v>You are good at this and can be considered talented</v>
      </c>
      <c r="G7" t="str">
        <f>IF(B7="","",IF(D7=TRUE,"",Sheet1!G7))</f>
        <v/>
      </c>
      <c r="H7" t="str">
        <f>IF(B7="","",IF(D7=TRUE,"",VLOOKUP(Sheet1!H7,List!$B$10:$C$14,2)))</f>
        <v/>
      </c>
      <c r="I7" t="str">
        <f>IF(B7="","",IF(D7=TRUE,"",Sheet1!I7))</f>
        <v/>
      </c>
      <c r="J7" t="str">
        <f>IF(B7="","",IF(D7=TRUE,"",VLOOKUP(Sheet1!J7,List!$B$10:$C$14,2)))</f>
        <v/>
      </c>
      <c r="K7" t="str">
        <f t="shared" si="0"/>
        <v>one course</v>
      </c>
    </row>
    <row r="8" spans="1:11" x14ac:dyDescent="0.3">
      <c r="A8">
        <f>IF(Sheet1!B8="","",Sheet1!A8)</f>
        <v>7</v>
      </c>
      <c r="B8" t="str">
        <f>IF(Sheet1!B8=0,"No",Sheet1!B8)</f>
        <v>Lea</v>
      </c>
      <c r="C8" t="str">
        <f>IF(Sheet1!C8="","",Sheet1!C8)</f>
        <v>Fischer</v>
      </c>
      <c r="D8" t="b">
        <f>IF(B8="","",Sheet1!D8)</f>
        <v>0</v>
      </c>
      <c r="E8" t="str">
        <f>IF(B8="","",Sheet1!E8)</f>
        <v>Carpentry</v>
      </c>
      <c r="F8" t="str">
        <f>IF(B8="","",VLOOKUP(Sheet1!F8,List!$B$10:$C$14,2))</f>
        <v xml:space="preserve">You seem to have a basic understanding of the subject </v>
      </c>
      <c r="G8" t="str">
        <f>IF(B8="","",IF(D8=TRUE,"",Sheet1!G8))</f>
        <v>Botany</v>
      </c>
      <c r="H8" t="str">
        <f>IF(B8="","",IF(D8=TRUE,"",VLOOKUP(Sheet1!H8,List!$B$10:$C$14,2)))</f>
        <v>You seem to understand the subject but lack passion or interest in the matter</v>
      </c>
      <c r="I8" t="str">
        <f>IF(B8="","",IF(D8=TRUE,"",Sheet1!I8))</f>
        <v>Culinary</v>
      </c>
      <c r="J8" t="str">
        <f>IF(B8="","",IF(D8=TRUE,"",VLOOKUP(Sheet1!J8,List!$B$10:$C$14,2)))</f>
        <v xml:space="preserve">You show a great passion for the course and show promise if you pursue this </v>
      </c>
      <c r="K8" t="str">
        <f t="shared" si="0"/>
        <v>three courses</v>
      </c>
    </row>
    <row r="9" spans="1:11" x14ac:dyDescent="0.3">
      <c r="A9">
        <f>IF(Sheet1!B9="","",Sheet1!A9)</f>
        <v>8</v>
      </c>
      <c r="B9" t="str">
        <f>IF(Sheet1!B9=0,"No",Sheet1!B9)</f>
        <v>Noah</v>
      </c>
      <c r="C9" t="str">
        <f>IF(Sheet1!C9="","",Sheet1!C9)</f>
        <v>Krüger</v>
      </c>
      <c r="D9" t="b">
        <f>IF(B9="","",Sheet1!D9)</f>
        <v>0</v>
      </c>
      <c r="E9" t="str">
        <f>IF(B9="","",Sheet1!E9)</f>
        <v>IT</v>
      </c>
      <c r="F9" t="str">
        <f>IF(B9="","",VLOOKUP(Sheet1!F9,List!$B$10:$C$14,2))</f>
        <v xml:space="preserve">You show a great passion for the course and show promise if you pursue this </v>
      </c>
      <c r="G9" t="str">
        <f>IF(B9="","",IF(D9=TRUE,"",Sheet1!G9))</f>
        <v>Botany</v>
      </c>
      <c r="H9" t="str">
        <f>IF(B9="","",IF(D9=TRUE,"",VLOOKUP(Sheet1!H9,List!$B$10:$C$14,2)))</f>
        <v>You are good at this and can be considered talented</v>
      </c>
      <c r="I9" t="str">
        <f>IF(B9="","",IF(D9=TRUE,"",Sheet1!I9))</f>
        <v>Botany</v>
      </c>
      <c r="J9" t="str">
        <f>IF(B9="","",IF(D9=TRUE,"",VLOOKUP(Sheet1!J9,List!$B$10:$C$14,2)))</f>
        <v>You seem to understand the subject but lack passion or interest in the matter</v>
      </c>
      <c r="K9" t="str">
        <f t="shared" si="0"/>
        <v>three courses</v>
      </c>
    </row>
    <row r="10" spans="1:11" x14ac:dyDescent="0.3">
      <c r="A10" t="str">
        <f>IF(Sheet1!B10="","",Sheet1!A10)</f>
        <v/>
      </c>
      <c r="B10" t="str">
        <f>IF(Sheet1!B10=0,"No",Sheet1!B10)</f>
        <v>No</v>
      </c>
      <c r="C10" t="str">
        <f>IF(Sheet1!C10="","",Sheet1!C10)</f>
        <v/>
      </c>
      <c r="D10" t="b">
        <f>IF(B10="","",Sheet1!D10)</f>
        <v>0</v>
      </c>
      <c r="E10">
        <f>IF(B10="","",Sheet1!E10)</f>
        <v>0</v>
      </c>
      <c r="F10" t="e">
        <f>IF(B10="","",VLOOKUP(Sheet1!F10,List!$B$10:$C$14,2))</f>
        <v>#N/A</v>
      </c>
      <c r="G10">
        <f>IF(B10="","",IF(D10=TRUE,"",Sheet1!G10))</f>
        <v>0</v>
      </c>
      <c r="H10" t="e">
        <f>IF(B10="","",IF(D10=TRUE,"",VLOOKUP(Sheet1!H10,List!$B$10:$C$14,2)))</f>
        <v>#N/A</v>
      </c>
      <c r="I10">
        <f>IF(B10="","",IF(D10=TRUE,"",Sheet1!I10))</f>
        <v>0</v>
      </c>
      <c r="J10" t="e">
        <f>IF(B10="","",IF(D10=TRUE,"",VLOOKUP(Sheet1!J10,List!$B$10:$C$14,2)))</f>
        <v>#N/A</v>
      </c>
      <c r="K10" t="str">
        <f t="shared" si="0"/>
        <v>three courses</v>
      </c>
    </row>
    <row r="11" spans="1:11" x14ac:dyDescent="0.3">
      <c r="A11" t="str">
        <f>IF(Sheet1!B11="","",Sheet1!A11)</f>
        <v/>
      </c>
      <c r="B11" t="str">
        <f>IF(Sheet1!B11=0,"No",Sheet1!B11)</f>
        <v>No</v>
      </c>
      <c r="C11" t="str">
        <f>IF(Sheet1!C11="","",Sheet1!C11)</f>
        <v/>
      </c>
      <c r="D11" t="b">
        <f>IF(B11="","",Sheet1!D11)</f>
        <v>0</v>
      </c>
      <c r="E11">
        <f>IF(B11="","",Sheet1!E11)</f>
        <v>0</v>
      </c>
      <c r="F11" t="e">
        <f>IF(B11="","",VLOOKUP(Sheet1!F11,List!$B$10:$C$14,2))</f>
        <v>#N/A</v>
      </c>
      <c r="G11">
        <f>IF(B11="","",IF(D11=TRUE,"",Sheet1!G11))</f>
        <v>0</v>
      </c>
      <c r="H11" t="e">
        <f>IF(B11="","",IF(D11=TRUE,"",VLOOKUP(Sheet1!H11,List!$B$10:$C$14,2)))</f>
        <v>#N/A</v>
      </c>
      <c r="I11">
        <f>IF(B11="","",IF(D11=TRUE,"",Sheet1!I11))</f>
        <v>0</v>
      </c>
      <c r="J11" t="e">
        <f>IF(B11="","",IF(D11=TRUE,"",VLOOKUP(Sheet1!J11,List!$B$10:$C$14,2)))</f>
        <v>#N/A</v>
      </c>
      <c r="K11" t="str">
        <f t="shared" si="0"/>
        <v>three courses</v>
      </c>
    </row>
    <row r="12" spans="1:11" x14ac:dyDescent="0.3">
      <c r="A12" t="str">
        <f>IF(Sheet1!B12="","",Sheet1!A12)</f>
        <v/>
      </c>
      <c r="B12" t="str">
        <f>IF(Sheet1!B12=0,"No",Sheet1!B12)</f>
        <v>No</v>
      </c>
      <c r="C12" t="str">
        <f>IF(Sheet1!C12="","",Sheet1!C12)</f>
        <v/>
      </c>
      <c r="D12" t="b">
        <f>IF(B12="","",Sheet1!D12)</f>
        <v>0</v>
      </c>
      <c r="E12">
        <f>IF(B12="","",Sheet1!E12)</f>
        <v>0</v>
      </c>
      <c r="F12" t="e">
        <f>IF(B12="","",VLOOKUP(Sheet1!F12,List!$B$10:$C$14,2))</f>
        <v>#N/A</v>
      </c>
      <c r="G12">
        <f>IF(B12="","",IF(D12=TRUE,"",Sheet1!G12))</f>
        <v>0</v>
      </c>
      <c r="H12" t="e">
        <f>IF(B12="","",IF(D12=TRUE,"",VLOOKUP(Sheet1!H12,List!$B$10:$C$14,2)))</f>
        <v>#N/A</v>
      </c>
      <c r="I12">
        <f>IF(B12="","",IF(D12=TRUE,"",Sheet1!I12))</f>
        <v>0</v>
      </c>
      <c r="J12" t="e">
        <f>IF(B12="","",IF(D12=TRUE,"",VLOOKUP(Sheet1!J12,List!$B$10:$C$14,2)))</f>
        <v>#N/A</v>
      </c>
      <c r="K12" t="str">
        <f t="shared" si="0"/>
        <v>three courses</v>
      </c>
    </row>
    <row r="13" spans="1:11" x14ac:dyDescent="0.3">
      <c r="A13" t="str">
        <f>IF(Sheet1!B13="","",Sheet1!A13)</f>
        <v/>
      </c>
      <c r="B13" t="str">
        <f>IF(Sheet1!B13=0,"No",Sheet1!B13)</f>
        <v>No</v>
      </c>
      <c r="C13" t="str">
        <f>IF(Sheet1!C13="","",Sheet1!C13)</f>
        <v/>
      </c>
      <c r="D13" t="b">
        <f>IF(B13="","",Sheet1!D13)</f>
        <v>0</v>
      </c>
      <c r="E13">
        <f>IF(B13="","",Sheet1!E13)</f>
        <v>0</v>
      </c>
      <c r="F13" t="e">
        <f>IF(B13="","",VLOOKUP(Sheet1!F13,List!$B$10:$C$14,2))</f>
        <v>#N/A</v>
      </c>
      <c r="G13">
        <f>IF(B13="","",IF(D13=TRUE,"",Sheet1!G13))</f>
        <v>0</v>
      </c>
      <c r="H13" t="e">
        <f>IF(B13="","",IF(D13=TRUE,"",VLOOKUP(Sheet1!H13,List!$B$10:$C$14,2)))</f>
        <v>#N/A</v>
      </c>
      <c r="I13">
        <f>IF(B13="","",IF(D13=TRUE,"",Sheet1!I13))</f>
        <v>0</v>
      </c>
      <c r="J13" t="e">
        <f>IF(B13="","",IF(D13=TRUE,"",VLOOKUP(Sheet1!J13,List!$B$10:$C$14,2)))</f>
        <v>#N/A</v>
      </c>
      <c r="K13" t="str">
        <f t="shared" si="0"/>
        <v>three courses</v>
      </c>
    </row>
    <row r="14" spans="1:11" x14ac:dyDescent="0.3">
      <c r="A14" t="str">
        <f>IF(Sheet1!B14="","",Sheet1!A14)</f>
        <v/>
      </c>
      <c r="B14" t="str">
        <f>IF(Sheet1!B14=0,"No",Sheet1!B14)</f>
        <v>No</v>
      </c>
      <c r="C14" t="str">
        <f>IF(Sheet1!C14="","",Sheet1!C14)</f>
        <v/>
      </c>
      <c r="D14" t="b">
        <f>IF(B14="","",Sheet1!D14)</f>
        <v>0</v>
      </c>
      <c r="E14">
        <f>IF(B14="","",Sheet1!E14)</f>
        <v>0</v>
      </c>
      <c r="F14" t="e">
        <f>IF(B14="","",VLOOKUP(Sheet1!F14,List!$B$10:$C$14,2))</f>
        <v>#N/A</v>
      </c>
      <c r="G14">
        <f>IF(B14="","",IF(D14=TRUE,"",Sheet1!G14))</f>
        <v>0</v>
      </c>
      <c r="H14" t="e">
        <f>IF(B14="","",IF(D14=TRUE,"",VLOOKUP(Sheet1!H14,List!$B$10:$C$14,2)))</f>
        <v>#N/A</v>
      </c>
      <c r="I14">
        <f>IF(B14="","",IF(D14=TRUE,"",Sheet1!I14))</f>
        <v>0</v>
      </c>
      <c r="J14" t="e">
        <f>IF(B14="","",IF(D14=TRUE,"",VLOOKUP(Sheet1!J14,List!$B$10:$C$14,2)))</f>
        <v>#N/A</v>
      </c>
      <c r="K14" t="str">
        <f t="shared" si="0"/>
        <v>three courses</v>
      </c>
    </row>
    <row r="15" spans="1:11" x14ac:dyDescent="0.3">
      <c r="A15" t="str">
        <f>IF(Sheet1!B15="","",Sheet1!A15)</f>
        <v/>
      </c>
      <c r="B15" t="str">
        <f>IF(Sheet1!B15=0,"No",Sheet1!B15)</f>
        <v>No</v>
      </c>
      <c r="C15" t="str">
        <f>IF(Sheet1!C15="","",Sheet1!C15)</f>
        <v/>
      </c>
      <c r="D15" t="b">
        <f>IF(B15="","",Sheet1!D15)</f>
        <v>0</v>
      </c>
      <c r="E15">
        <f>IF(B15="","",Sheet1!E15)</f>
        <v>0</v>
      </c>
      <c r="F15" t="e">
        <f>IF(B15="","",VLOOKUP(Sheet1!F15,List!$B$10:$C$14,2))</f>
        <v>#N/A</v>
      </c>
      <c r="G15">
        <f>IF(B15="","",IF(D15=TRUE,"",Sheet1!G15))</f>
        <v>0</v>
      </c>
      <c r="H15" t="e">
        <f>IF(B15="","",IF(D15=TRUE,"",VLOOKUP(Sheet1!H15,List!$B$10:$C$14,2)))</f>
        <v>#N/A</v>
      </c>
      <c r="I15">
        <f>IF(B15="","",IF(D15=TRUE,"",Sheet1!I15))</f>
        <v>0</v>
      </c>
      <c r="J15" t="e">
        <f>IF(B15="","",IF(D15=TRUE,"",VLOOKUP(Sheet1!J15,List!$B$10:$C$14,2)))</f>
        <v>#N/A</v>
      </c>
      <c r="K15" t="str">
        <f t="shared" si="0"/>
        <v>three courses</v>
      </c>
    </row>
    <row r="16" spans="1:11" x14ac:dyDescent="0.3">
      <c r="A16" t="str">
        <f>IF(Sheet1!B16="","",Sheet1!A16)</f>
        <v/>
      </c>
      <c r="B16" t="str">
        <f>IF(Sheet1!B16=0,"No",Sheet1!B16)</f>
        <v>No</v>
      </c>
      <c r="C16" t="str">
        <f>IF(Sheet1!C16="","",Sheet1!C16)</f>
        <v/>
      </c>
      <c r="D16" t="b">
        <f>IF(B16="","",Sheet1!D16)</f>
        <v>0</v>
      </c>
      <c r="E16">
        <f>IF(B16="","",Sheet1!E16)</f>
        <v>0</v>
      </c>
      <c r="F16" t="e">
        <f>IF(B16="","",VLOOKUP(Sheet1!F16,List!$B$10:$C$14,2))</f>
        <v>#N/A</v>
      </c>
      <c r="G16">
        <f>IF(B16="","",IF(D16=TRUE,"",Sheet1!G16))</f>
        <v>0</v>
      </c>
      <c r="H16" t="e">
        <f>IF(B16="","",IF(D16=TRUE,"",VLOOKUP(Sheet1!H16,List!$B$10:$C$14,2)))</f>
        <v>#N/A</v>
      </c>
      <c r="I16">
        <f>IF(B16="","",IF(D16=TRUE,"",Sheet1!I16))</f>
        <v>0</v>
      </c>
      <c r="J16" t="e">
        <f>IF(B16="","",IF(D16=TRUE,"",VLOOKUP(Sheet1!J16,List!$B$10:$C$14,2)))</f>
        <v>#N/A</v>
      </c>
      <c r="K16" t="str">
        <f t="shared" si="0"/>
        <v>three courses</v>
      </c>
    </row>
    <row r="17" spans="1:11" x14ac:dyDescent="0.3">
      <c r="A17" t="str">
        <f>IF(Sheet1!B17="","",Sheet1!A17)</f>
        <v/>
      </c>
      <c r="B17" t="str">
        <f>IF(Sheet1!B17=0,"No",Sheet1!B17)</f>
        <v>No</v>
      </c>
      <c r="C17" t="str">
        <f>IF(Sheet1!C17="","",Sheet1!C17)</f>
        <v/>
      </c>
      <c r="D17" t="b">
        <f>IF(B17="","",Sheet1!D17)</f>
        <v>0</v>
      </c>
      <c r="E17">
        <f>IF(B17="","",Sheet1!E17)</f>
        <v>0</v>
      </c>
      <c r="F17" t="e">
        <f>IF(B17="","",VLOOKUP(Sheet1!F17,List!$B$10:$C$14,2))</f>
        <v>#N/A</v>
      </c>
      <c r="G17">
        <f>IF(B17="","",IF(D17=TRUE,"",Sheet1!G17))</f>
        <v>0</v>
      </c>
      <c r="H17" t="e">
        <f>IF(B17="","",IF(D17=TRUE,"",VLOOKUP(Sheet1!H17,List!$B$10:$C$14,2)))</f>
        <v>#N/A</v>
      </c>
      <c r="I17">
        <f>IF(B17="","",IF(D17=TRUE,"",Sheet1!I17))</f>
        <v>0</v>
      </c>
      <c r="J17" t="e">
        <f>IF(B17="","",IF(D17=TRUE,"",VLOOKUP(Sheet1!J17,List!$B$10:$C$14,2)))</f>
        <v>#N/A</v>
      </c>
      <c r="K17" t="str">
        <f t="shared" si="0"/>
        <v>three courses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CAEB9-CAEF-40B7-BA59-407B2FD6F19E}">
  <sheetPr codeName="Sheet3"/>
  <dimension ref="B2:C14"/>
  <sheetViews>
    <sheetView workbookViewId="0"/>
  </sheetViews>
  <sheetFormatPr defaultRowHeight="14.4" x14ac:dyDescent="0.3"/>
  <cols>
    <col min="1" max="1" width="2.33203125" customWidth="1"/>
    <col min="3" max="3" width="44.77734375" bestFit="1" customWidth="1"/>
  </cols>
  <sheetData>
    <row r="2" spans="2:3" x14ac:dyDescent="0.3">
      <c r="B2" s="5" t="s">
        <v>13</v>
      </c>
    </row>
    <row r="3" spans="2:3" x14ac:dyDescent="0.3">
      <c r="B3" s="3" t="s">
        <v>8</v>
      </c>
    </row>
    <row r="4" spans="2:3" x14ac:dyDescent="0.3">
      <c r="B4" s="3" t="s">
        <v>9</v>
      </c>
    </row>
    <row r="5" spans="2:3" x14ac:dyDescent="0.3">
      <c r="B5" s="3" t="s">
        <v>10</v>
      </c>
    </row>
    <row r="6" spans="2:3" x14ac:dyDescent="0.3">
      <c r="B6" s="3" t="s">
        <v>11</v>
      </c>
    </row>
    <row r="7" spans="2:3" x14ac:dyDescent="0.3">
      <c r="B7" s="4" t="s">
        <v>12</v>
      </c>
    </row>
    <row r="9" spans="2:3" x14ac:dyDescent="0.3">
      <c r="B9" s="6" t="s">
        <v>14</v>
      </c>
      <c r="C9" s="7" t="s">
        <v>15</v>
      </c>
    </row>
    <row r="10" spans="2:3" ht="43.2" x14ac:dyDescent="0.3">
      <c r="B10" s="2">
        <v>1</v>
      </c>
      <c r="C10" s="8" t="s">
        <v>16</v>
      </c>
    </row>
    <row r="11" spans="2:3" x14ac:dyDescent="0.3">
      <c r="B11" s="3">
        <v>2</v>
      </c>
      <c r="C11" s="9" t="s">
        <v>17</v>
      </c>
    </row>
    <row r="12" spans="2:3" x14ac:dyDescent="0.3">
      <c r="B12" s="3">
        <v>3</v>
      </c>
      <c r="C12" s="9" t="s">
        <v>18</v>
      </c>
    </row>
    <row r="13" spans="2:3" ht="31.8" customHeight="1" x14ac:dyDescent="0.3">
      <c r="B13" s="3">
        <v>4</v>
      </c>
      <c r="C13" s="9" t="s">
        <v>19</v>
      </c>
    </row>
    <row r="14" spans="2:3" ht="28.8" x14ac:dyDescent="0.3">
      <c r="B14" s="4">
        <v>5</v>
      </c>
      <c r="C14" s="10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09611-A2CD-4E06-BCF7-92B2E614C5EB}">
  <sheetPr codeName="Sheet4"/>
  <dimension ref="B2:C2"/>
  <sheetViews>
    <sheetView workbookViewId="0">
      <selection activeCell="C2" sqref="C2"/>
    </sheetView>
  </sheetViews>
  <sheetFormatPr defaultRowHeight="14.4" x14ac:dyDescent="0.3"/>
  <cols>
    <col min="2" max="2" width="21" bestFit="1" customWidth="1"/>
  </cols>
  <sheetData>
    <row r="2" spans="2:3" x14ac:dyDescent="0.3">
      <c r="B2" t="s">
        <v>21</v>
      </c>
      <c r="C2" t="str">
        <f>IF(Sheet1!D2, "TRUELIST", "Courses")</f>
        <v>TRUELIST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Sheet2</vt:lpstr>
      <vt:lpstr>List</vt:lpstr>
      <vt:lpstr>HelperCells</vt:lpstr>
      <vt:lpstr>Courses</vt:lpstr>
      <vt:lpstr>TRUELIST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subhi sela</dc:creator>
  <cp:lastModifiedBy>subhi sela</cp:lastModifiedBy>
  <dcterms:created xsi:type="dcterms:W3CDTF">2026-01-02T23:49:59Z</dcterms:created>
  <dcterms:modified xsi:type="dcterms:W3CDTF">2026-10-22T13:16:53Z</dcterms:modified>
</cp:coreProperties>
</file>